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User\Desktop\SubRES_TMPL\"/>
    </mc:Choice>
  </mc:AlternateContent>
  <xr:revisionPtr revIDLastSave="0" documentId="13_ncr:1_{AC2FBD01-57BD-418B-8956-6777F4A76787}" xr6:coauthVersionLast="47" xr6:coauthVersionMax="47" xr10:uidLastSave="{00000000-0000-0000-0000-000000000000}"/>
  <bookViews>
    <workbookView xWindow="-120" yWindow="-120" windowWidth="29040" windowHeight="15720" tabRatio="901" activeTab="1" xr2:uid="{00000000-000D-0000-FFFF-FFFF00000000}"/>
  </bookViews>
  <sheets>
    <sheet name="SEC_Comm" sheetId="112" r:id="rId1"/>
    <sheet name="SEC_Processes" sheetId="127" r:id="rId2"/>
    <sheet name="MIN_IMP" sheetId="133" r:id="rId3"/>
    <sheet name="PP" sheetId="134" r:id="rId4"/>
  </sheets>
  <externalReferences>
    <externalReference r:id="rId5"/>
  </externalReferences>
  <definedNames>
    <definedName name="FID_1">[1]AGR_Fuels!$A$2</definedName>
  </definedNames>
  <calcPr calcId="191028"/>
</workbook>
</file>

<file path=xl/calcChain.xml><?xml version="1.0" encoding="utf-8"?>
<calcChain xmlns="http://schemas.openxmlformats.org/spreadsheetml/2006/main">
  <c r="E9" i="134" l="1"/>
  <c r="D9" i="134"/>
  <c r="D9" i="133"/>
  <c r="B9" i="133"/>
  <c r="E8" i="134"/>
  <c r="C8" i="134"/>
  <c r="B8" i="134"/>
  <c r="D8" i="133"/>
  <c r="D8" i="134" s="1"/>
  <c r="B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1F2E6007-9D90-4FAC-BD93-63283AEDF5E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<sst xmlns="http://schemas.openxmlformats.org/spreadsheetml/2006/main" count="197" uniqueCount="138">
  <si>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</si>
  <si>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</si>
  <si>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</si>
  <si>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</si>
  <si>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</si>
  <si>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</si>
  <si>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</si>
  <si>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</si>
  <si>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</si>
  <si>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</si>
  <si>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</si>
  <si>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</si>
  <si>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</si>
  <si>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</si>
  <si>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</si>
  <si>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</si>
  <si>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</si>
  <si>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</si>
  <si>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</si>
  <si>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</si>
  <si>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MIN</t>
  </si>
  <si>
    <t>IMP</t>
  </si>
  <si>
    <t>~FI_T</t>
  </si>
  <si>
    <t>Comm-OUT</t>
  </si>
  <si>
    <t>COST</t>
  </si>
  <si>
    <t>ACT_BND</t>
  </si>
  <si>
    <t>Primary energy supply</t>
  </si>
  <si>
    <t>ENV</t>
  </si>
  <si>
    <t>DEM</t>
  </si>
  <si>
    <t>MAT</t>
  </si>
  <si>
    <t>FIN</t>
  </si>
  <si>
    <t>Energy</t>
  </si>
  <si>
    <t>Emission</t>
  </si>
  <si>
    <t>Demand</t>
  </si>
  <si>
    <t>Material</t>
  </si>
  <si>
    <t>Financial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</si>
  <si>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</si>
  <si>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</si>
  <si>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</si>
  <si>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</si>
  <si>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</si>
  <si>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</si>
  <si>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(CHP)</t>
  </si>
  <si>
    <t>Define processes</t>
  </si>
  <si>
    <t>Define commodities</t>
  </si>
  <si>
    <t>ELE</t>
  </si>
  <si>
    <t>CHP</t>
  </si>
  <si>
    <t>STG</t>
  </si>
  <si>
    <t>PRE</t>
  </si>
  <si>
    <t>DMD</t>
  </si>
  <si>
    <t>EXP</t>
  </si>
  <si>
    <t>HPL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</si>
  <si>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</si>
  <si>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</si>
  <si>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</si>
  <si>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</si>
  <si>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</si>
  <si>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</si>
  <si>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Froup</t>
  </si>
  <si>
    <t>Vintage Tracking</t>
  </si>
  <si>
    <t>Power Plant (Electricity Only)</t>
  </si>
  <si>
    <t>Combined Heat &amp; Power Plant</t>
  </si>
  <si>
    <t>Timeslice Storage</t>
  </si>
  <si>
    <t>Generic Process</t>
  </si>
  <si>
    <t>Demand Process</t>
  </si>
  <si>
    <t>Import</t>
  </si>
  <si>
    <t>Eksport</t>
  </si>
  <si>
    <t>Mining</t>
  </si>
  <si>
    <t>Heat Only Plant</t>
  </si>
  <si>
    <t>Commodity only at Output</t>
  </si>
  <si>
    <t>Commodity only at Input</t>
  </si>
  <si>
    <t>\I: Technology Name</t>
  </si>
  <si>
    <t>Output Commodity</t>
  </si>
  <si>
    <t>Annual Activity Bound</t>
  </si>
  <si>
    <t>*TechDesc</t>
  </si>
  <si>
    <t>Comm-IN</t>
  </si>
  <si>
    <t>EFF</t>
  </si>
  <si>
    <t>CAP2ACT</t>
  </si>
  <si>
    <t>AFA</t>
  </si>
  <si>
    <t>FIXOM</t>
  </si>
  <si>
    <t>VAROM</t>
  </si>
  <si>
    <t>Input Commodity</t>
  </si>
  <si>
    <t>Efficiency (output based)</t>
  </si>
  <si>
    <t>Capacity to Activity Factor</t>
  </si>
  <si>
    <t>Annual Availibility Factor</t>
  </si>
  <si>
    <t>Fix Costs O&amp;M</t>
  </si>
  <si>
    <t>Variable Cost O&amp;M</t>
  </si>
  <si>
    <t>Power Plants - Energy Transformation</t>
  </si>
  <si>
    <t>Available Commodity Sets</t>
  </si>
  <si>
    <t>PJ</t>
  </si>
  <si>
    <t>SEASON</t>
  </si>
  <si>
    <t>DAYNITE</t>
  </si>
  <si>
    <t>Should have commodity of type DEM as an output</t>
  </si>
  <si>
    <t>\I: Unit</t>
  </si>
  <si>
    <t>PLN/PJ</t>
  </si>
  <si>
    <t>PJ/a</t>
  </si>
  <si>
    <t>Extraction or Import cost</t>
  </si>
  <si>
    <t>High Voltage Electricity</t>
  </si>
  <si>
    <t>PJ output / PJ input</t>
  </si>
  <si>
    <t>PJ / a / GWe</t>
  </si>
  <si>
    <t>hours / 8760 hours</t>
  </si>
  <si>
    <t>WIND_ON</t>
  </si>
  <si>
    <t>Wind Onshore</t>
  </si>
  <si>
    <t>GW</t>
  </si>
  <si>
    <t>INVCOST</t>
  </si>
  <si>
    <t>Investment Cost</t>
  </si>
  <si>
    <t>START</t>
  </si>
  <si>
    <t>Starting Year</t>
  </si>
  <si>
    <t>LIFE</t>
  </si>
  <si>
    <t>Technical Lifetime</t>
  </si>
  <si>
    <t>PLN/GJa</t>
  </si>
  <si>
    <t>SOLAR</t>
  </si>
  <si>
    <t>Solar energy</t>
  </si>
  <si>
    <t>PL</t>
  </si>
  <si>
    <t>MIN_SOLAR</t>
  </si>
  <si>
    <t>Solar energy supply</t>
  </si>
  <si>
    <t>NEW_PV_PP</t>
  </si>
  <si>
    <t>New PV Power Plant</t>
  </si>
  <si>
    <t>FUEL_OIL</t>
  </si>
  <si>
    <t>Fuel Oil</t>
  </si>
  <si>
    <t>NAT_GAS</t>
  </si>
  <si>
    <t>Natural Gas</t>
  </si>
  <si>
    <t>ELC_HV</t>
  </si>
  <si>
    <t>ELC</t>
  </si>
  <si>
    <t>ELC_LV</t>
  </si>
  <si>
    <t>Low Voltage</t>
  </si>
  <si>
    <t>ELC_FIN</t>
  </si>
  <si>
    <t>Final demand</t>
  </si>
  <si>
    <t>EUR / GJ Activity</t>
  </si>
  <si>
    <t>EUR / kWe</t>
  </si>
  <si>
    <t>EUR/kW</t>
  </si>
  <si>
    <t>NEW_WINOFF_PP</t>
  </si>
  <si>
    <t>WIND_OFF</t>
  </si>
  <si>
    <t>Wind energy</t>
  </si>
  <si>
    <t>MIN_WINDOFF</t>
  </si>
  <si>
    <t>NEW_WINDOFF_PP</t>
  </si>
  <si>
    <t>Wind energy supply</t>
  </si>
  <si>
    <t>New WIND OFF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</si>
</sst>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"/>
  </numFmts>
  <fonts count="61">
    <font>
      <sz val="10"/>
      <name val="Arial"/>
    </font>
    <font>
      <sz val="10"/>
      <name val="Arial"/>
      <family val="2"/>
      <charset val="238"/>
    </font>
    <font>
      <sz val="10"/>
      <name val="Courier"/>
      <family val="3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2"/>
      <color indexed="9"/>
      <name val="Arial"/>
      <family val="2"/>
      <charset val="238"/>
    </font>
    <font>
      <sz val="8"/>
      <color indexed="10"/>
      <name val="Arial"/>
      <family val="2"/>
    </font>
    <font>
      <sz val="14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</font>
    <font>
      <b/>
      <sz val="12"/>
      <color rgb="FF0000FF"/>
      <name val="Arial"/>
      <family val="2"/>
      <charset val="238"/>
    </font>
    <font>
      <b/>
      <sz val="10"/>
      <color rgb="FF000000"/>
      <name val="Arial"/>
      <family val="2"/>
      <charset val="238"/>
    </font>
    <font>
      <i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DBFC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40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4" fillId="0" borderId="0"/>
    <xf numFmtId="9" fontId="55" fillId="0" borderId="0" applyFont="0" applyFill="0" applyBorder="0" applyAlignment="0" applyProtection="0"/>
  </cellStyleXfs>
  <cellXfs count="82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4" fillId="0" borderId="0" xfId="277" applyFont="1"/>
    <xf numFmtId="0" fontId="3" fillId="24" borderId="0" xfId="0" quotePrefix="1" applyFont="1" applyFill="1"/>
    <xf numFmtId="0" fontId="1" fillId="0" borderId="0" xfId="0" applyFont="1"/>
    <xf numFmtId="0" fontId="51" fillId="24" borderId="0" xfId="0" quotePrefix="1" applyFont="1" applyFill="1" applyAlignment="1">
      <alignment horizontal="left"/>
    </xf>
    <xf numFmtId="0" fontId="6" fillId="0" borderId="0" xfId="0" applyFont="1"/>
    <xf numFmtId="0" fontId="52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/>
    <xf numFmtId="0" fontId="5" fillId="0" borderId="0" xfId="0" applyFont="1" applyAlignment="1">
      <alignment horizontal="left" wrapText="1"/>
    </xf>
    <xf numFmtId="0" fontId="53" fillId="24" borderId="0" xfId="0" quotePrefix="1" applyFont="1" applyFill="1" applyAlignment="1">
      <alignment horizontal="left"/>
    </xf>
    <xf numFmtId="0" fontId="1" fillId="28" borderId="13" xfId="0" applyFont="1" applyFill="1" applyBorder="1"/>
    <xf numFmtId="0" fontId="1" fillId="29" borderId="0" xfId="0" applyFont="1" applyFill="1"/>
    <xf numFmtId="0" fontId="1" fillId="28" borderId="0" xfId="0" applyFont="1" applyFill="1"/>
    <xf numFmtId="0" fontId="1" fillId="28" borderId="14" xfId="0" applyFont="1" applyFill="1" applyBorder="1"/>
    <xf numFmtId="0" fontId="0" fillId="30" borderId="15" xfId="0" applyFill="1" applyBorder="1"/>
    <xf numFmtId="0" fontId="0" fillId="30" borderId="13" xfId="0" applyFill="1" applyBorder="1"/>
    <xf numFmtId="0" fontId="4" fillId="30" borderId="13" xfId="0" applyFont="1" applyFill="1" applyBorder="1"/>
    <xf numFmtId="0" fontId="0" fillId="30" borderId="16" xfId="0" applyFill="1" applyBorder="1"/>
    <xf numFmtId="0" fontId="0" fillId="30" borderId="17" xfId="0" applyFill="1" applyBorder="1"/>
    <xf numFmtId="0" fontId="0" fillId="30" borderId="18" xfId="0" applyFill="1" applyBorder="1"/>
    <xf numFmtId="0" fontId="0" fillId="30" borderId="19" xfId="0" applyFill="1" applyBorder="1"/>
    <xf numFmtId="0" fontId="0" fillId="30" borderId="10" xfId="0" applyFill="1" applyBorder="1"/>
    <xf numFmtId="0" fontId="0" fillId="30" borderId="20" xfId="0" applyFill="1" applyBorder="1"/>
    <xf numFmtId="9" fontId="0" fillId="0" borderId="0" xfId="0" applyNumberFormat="1"/>
    <xf numFmtId="2" fontId="0" fillId="0" borderId="0" xfId="0" applyNumberFormat="1"/>
    <xf numFmtId="165" fontId="57" fillId="28" borderId="0" xfId="0" applyNumberFormat="1" applyFont="1" applyFill="1"/>
    <xf numFmtId="165" fontId="58" fillId="25" borderId="21" xfId="0" applyNumberFormat="1" applyFont="1" applyFill="1" applyBorder="1" applyAlignment="1">
      <alignment horizontal="center" vertical="center" wrapText="1"/>
    </xf>
    <xf numFmtId="165" fontId="59" fillId="26" borderId="22" xfId="274" applyNumberFormat="1" applyFont="1" applyFill="1" applyBorder="1" applyAlignment="1">
      <alignment horizontal="center" vertical="center" wrapText="1"/>
    </xf>
    <xf numFmtId="165" fontId="60" fillId="28" borderId="0" xfId="0" applyNumberFormat="1" applyFont="1" applyFill="1"/>
    <xf numFmtId="165" fontId="60" fillId="28" borderId="0" xfId="0" quotePrefix="1" applyNumberFormat="1" applyFont="1" applyFill="1" applyAlignment="1">
      <alignment horizontal="left"/>
    </xf>
    <xf numFmtId="165" fontId="60" fillId="29" borderId="0" xfId="0" applyNumberFormat="1" applyFont="1" applyFill="1"/>
    <xf numFmtId="165" fontId="60" fillId="29" borderId="0" xfId="0" quotePrefix="1" applyNumberFormat="1" applyFont="1" applyFill="1" applyAlignment="1">
      <alignment horizontal="left"/>
    </xf>
    <xf numFmtId="0" fontId="60" fillId="29" borderId="0" xfId="0" applyFont="1" applyFill="1"/>
    <xf numFmtId="165" fontId="60" fillId="28" borderId="0" xfId="0" applyNumberFormat="1" applyFont="1" applyFill="1" applyAlignment="1">
      <alignment horizontal="left"/>
    </xf>
    <xf numFmtId="165" fontId="60" fillId="29" borderId="23" xfId="0" applyNumberFormat="1" applyFont="1" applyFill="1" applyBorder="1"/>
    <xf numFmtId="165" fontId="60" fillId="29" borderId="23" xfId="0" applyNumberFormat="1" applyFont="1" applyFill="1" applyBorder="1" applyAlignment="1">
      <alignment horizontal="left"/>
    </xf>
    <xf numFmtId="0" fontId="60" fillId="28" borderId="0" xfId="0" applyFont="1" applyFill="1"/>
    <xf numFmtId="0" fontId="57" fillId="28" borderId="0" xfId="0" applyFont="1" applyFill="1"/>
    <xf numFmtId="0" fontId="58" fillId="25" borderId="21" xfId="0" applyFont="1" applyFill="1" applyBorder="1" applyAlignment="1">
      <alignment horizontal="center" vertical="center" wrapText="1"/>
    </xf>
    <xf numFmtId="0" fontId="59" fillId="26" borderId="22" xfId="0" applyFont="1" applyFill="1" applyBorder="1"/>
    <xf numFmtId="0" fontId="60" fillId="28" borderId="23" xfId="0" applyFont="1" applyFill="1" applyBorder="1"/>
    <xf numFmtId="0" fontId="6" fillId="0" borderId="0" xfId="277" applyFont="1" applyAlignment="1">
      <alignment horizontal="left"/>
    </xf>
    <xf numFmtId="0" fontId="58" fillId="25" borderId="21" xfId="277" applyFont="1" applyFill="1" applyBorder="1" applyAlignment="1">
      <alignment horizontal="center" vertical="center" wrapText="1"/>
    </xf>
    <xf numFmtId="0" fontId="59" fillId="26" borderId="21" xfId="274" applyFont="1" applyFill="1" applyBorder="1" applyAlignment="1">
      <alignment horizontal="center" vertical="center" wrapText="1"/>
    </xf>
    <xf numFmtId="0" fontId="59" fillId="31" borderId="24" xfId="274" applyFont="1" applyFill="1" applyBorder="1" applyAlignment="1">
      <alignment horizontal="center" vertical="center" wrapText="1"/>
    </xf>
    <xf numFmtId="0" fontId="56" fillId="28" borderId="0" xfId="0" quotePrefix="1" applyFont="1" applyFill="1" applyAlignment="1">
      <alignment horizontal="left"/>
    </xf>
    <xf numFmtId="0" fontId="56" fillId="28" borderId="0" xfId="0" quotePrefix="1" applyFont="1" applyFill="1"/>
    <xf numFmtId="2" fontId="56" fillId="28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right"/>
    </xf>
    <xf numFmtId="0" fontId="56" fillId="29" borderId="0" xfId="0" quotePrefix="1" applyFont="1" applyFill="1" applyAlignment="1">
      <alignment horizontal="left"/>
    </xf>
    <xf numFmtId="1" fontId="56" fillId="29" borderId="0" xfId="0" applyNumberFormat="1" applyFont="1" applyFill="1" applyAlignment="1">
      <alignment horizontal="left"/>
    </xf>
    <xf numFmtId="166" fontId="56" fillId="29" borderId="0" xfId="0" applyNumberFormat="1" applyFont="1" applyFill="1" applyAlignment="1">
      <alignment horizontal="right"/>
    </xf>
    <xf numFmtId="1" fontId="56" fillId="29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left"/>
    </xf>
    <xf numFmtId="2" fontId="56" fillId="29" borderId="0" xfId="0" applyNumberFormat="1" applyFont="1" applyFill="1" applyAlignment="1">
      <alignment horizontal="right"/>
    </xf>
    <xf numFmtId="0" fontId="56" fillId="29" borderId="23" xfId="0" quotePrefix="1" applyFont="1" applyFill="1" applyBorder="1" applyAlignment="1">
      <alignment horizontal="left"/>
    </xf>
    <xf numFmtId="1" fontId="56" fillId="29" borderId="23" xfId="0" applyNumberFormat="1" applyFont="1" applyFill="1" applyBorder="1"/>
    <xf numFmtId="2" fontId="56" fillId="29" borderId="23" xfId="0" applyNumberFormat="1" applyFont="1" applyFill="1" applyBorder="1" applyAlignment="1">
      <alignment horizontal="right"/>
    </xf>
    <xf numFmtId="1" fontId="56" fillId="29" borderId="23" xfId="0" applyNumberFormat="1" applyFont="1" applyFill="1" applyBorder="1" applyAlignment="1">
      <alignment horizontal="right"/>
    </xf>
    <xf numFmtId="0" fontId="59" fillId="31" borderId="24" xfId="0" applyFont="1" applyFill="1" applyBorder="1"/>
    <xf numFmtId="0" fontId="60" fillId="29" borderId="23" xfId="0" applyFont="1" applyFill="1" applyBorder="1"/>
    <xf numFmtId="166" fontId="56" fillId="28" borderId="0" xfId="0" applyNumberFormat="1" applyFont="1" applyFill="1" applyAlignment="1">
      <alignment horizontal="right"/>
    </xf>
    <xf numFmtId="9" fontId="60" fillId="28" borderId="0" xfId="339" applyFont="1" applyFill="1" applyBorder="1"/>
    <xf numFmtId="0" fontId="59" fillId="26" borderId="21" xfId="0" applyFont="1" applyFill="1" applyBorder="1" applyAlignment="1">
      <alignment wrapText="1"/>
    </xf>
    <xf numFmtId="0" fontId="54" fillId="27" borderId="11" xfId="0" applyFont="1" applyFill="1" applyBorder="1" applyAlignment="1">
      <alignment horizontal="center"/>
    </xf>
    <xf numFmtId="1" fontId="60" fillId="29" borderId="23" xfId="0" applyNumberFormat="1" applyFont="1" applyFill="1" applyBorder="1"/>
    <xf numFmtId="9" fontId="60" fillId="29" borderId="23" xfId="0" applyNumberFormat="1" applyFont="1" applyFill="1" applyBorder="1"/>
  </cellXfs>
  <cellStyles count="340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 4" xfId="338" xr:uid="{87DF59A0-13B6-483D-9CBE-BCCD9D8FCC03}"/>
    <cellStyle name="Normal_MIN" xfId="277" xr:uid="{00000000-0005-0000-0000-000014010000}"/>
    <cellStyle name="Normale_B2020" xfId="278" xr:uid="{00000000-0005-0000-0000-000016010000}"/>
    <cellStyle name="Normalny" xfId="0" builtinId="0"/>
    <cellStyle name="Normalny 2" xfId="279" xr:uid="{00000000-0005-0000-0000-000018010000}"/>
    <cellStyle name="Normalny 3" xfId="280" xr:uid="{00000000-0005-0000-0000-000019010000}"/>
    <cellStyle name="Normalny 4" xfId="281" xr:uid="{00000000-0005-0000-0000-00001A010000}"/>
    <cellStyle name="Normalny 5" xfId="282" xr:uid="{00000000-0005-0000-0000-00001B010000}"/>
    <cellStyle name="Normalny 6" xfId="283" xr:uid="{00000000-0005-0000-0000-00001C010000}"/>
    <cellStyle name="Normalny 7" xfId="284" xr:uid="{00000000-0005-0000-0000-00001D010000}"/>
    <cellStyle name="Normalny 8" xfId="285" xr:uid="{00000000-0005-0000-0000-00001E010000}"/>
    <cellStyle name="Normalny 9" xfId="286" xr:uid="{00000000-0005-0000-0000-00001F010000}"/>
    <cellStyle name="Obliczenia" xfId="287" xr:uid="{00000000-0005-0000-0000-000020010000}"/>
    <cellStyle name="Obliczenia 2" xfId="288" xr:uid="{00000000-0005-0000-0000-000021010000}"/>
    <cellStyle name="Obliczenia 3" xfId="289" xr:uid="{00000000-0005-0000-0000-000022010000}"/>
    <cellStyle name="Obliczenia 4" xfId="290" xr:uid="{00000000-0005-0000-0000-000023010000}"/>
    <cellStyle name="Obliczenia 5" xfId="291" xr:uid="{00000000-0005-0000-0000-000024010000}"/>
    <cellStyle name="Obliczenia 6" xfId="292" xr:uid="{00000000-0005-0000-0000-000025010000}"/>
    <cellStyle name="Obliczenia 7" xfId="293" xr:uid="{00000000-0005-0000-0000-000026010000}"/>
    <cellStyle name="Obliczenia 8" xfId="294" xr:uid="{00000000-0005-0000-0000-000027010000}"/>
    <cellStyle name="Procentowy" xfId="339" builtinId="5"/>
    <cellStyle name="Standard_Sce_D_Extraction" xfId="295" xr:uid="{00000000-0005-0000-0000-000028010000}"/>
    <cellStyle name="Suma" xfId="296" xr:uid="{00000000-0005-0000-0000-000029010000}"/>
    <cellStyle name="Suma 2" xfId="297" xr:uid="{00000000-0005-0000-0000-00002A010000}"/>
    <cellStyle name="Suma 3" xfId="298" xr:uid="{00000000-0005-0000-0000-00002B010000}"/>
    <cellStyle name="Suma 4" xfId="299" xr:uid="{00000000-0005-0000-0000-00002C010000}"/>
    <cellStyle name="Suma 5" xfId="300" xr:uid="{00000000-0005-0000-0000-00002D010000}"/>
    <cellStyle name="Suma 6" xfId="301" xr:uid="{00000000-0005-0000-0000-00002E010000}"/>
    <cellStyle name="Suma 7" xfId="302" xr:uid="{00000000-0005-0000-0000-00002F010000}"/>
    <cellStyle name="Suma 8" xfId="303" xr:uid="{00000000-0005-0000-0000-000030010000}"/>
    <cellStyle name="Tekst objaśnienia" xfId="304" xr:uid="{00000000-0005-0000-0000-000031010000}"/>
    <cellStyle name="Tekst objaśnienia 2" xfId="305" xr:uid="{00000000-0005-0000-0000-000032010000}"/>
    <cellStyle name="Tekst objaśnienia 3" xfId="306" xr:uid="{00000000-0005-0000-0000-000033010000}"/>
    <cellStyle name="Tekst objaśnienia 4" xfId="307" xr:uid="{00000000-0005-0000-0000-000034010000}"/>
    <cellStyle name="Tekst objaśnienia 5" xfId="308" xr:uid="{00000000-0005-0000-0000-000035010000}"/>
    <cellStyle name="Tekst objaśnienia 6" xfId="309" xr:uid="{00000000-0005-0000-0000-000036010000}"/>
    <cellStyle name="Tekst objaśnienia 7" xfId="310" xr:uid="{00000000-0005-0000-0000-000037010000}"/>
    <cellStyle name="Tekst objaśnienia 8" xfId="311" xr:uid="{00000000-0005-0000-0000-000038010000}"/>
    <cellStyle name="Tekst ostrzeżenia" xfId="312" xr:uid="{00000000-0005-0000-0000-000039010000}"/>
    <cellStyle name="Tekst ostrzeżenia 2" xfId="313" xr:uid="{00000000-0005-0000-0000-00003A010000}"/>
    <cellStyle name="Tekst ostrzeżenia 3" xfId="314" xr:uid="{00000000-0005-0000-0000-00003B010000}"/>
    <cellStyle name="Tekst ostrzeżenia 4" xfId="315" xr:uid="{00000000-0005-0000-0000-00003C010000}"/>
    <cellStyle name="Tekst ostrzeżenia 5" xfId="316" xr:uid="{00000000-0005-0000-0000-00003D010000}"/>
    <cellStyle name="Tekst ostrzeżenia 6" xfId="317" xr:uid="{00000000-0005-0000-0000-00003E010000}"/>
    <cellStyle name="Tekst ostrzeżenia 7" xfId="318" xr:uid="{00000000-0005-0000-0000-00003F010000}"/>
    <cellStyle name="Tekst ostrzeżenia 8" xfId="319" xr:uid="{00000000-0005-0000-0000-000040010000}"/>
    <cellStyle name="Tytuł" xfId="320" xr:uid="{00000000-0005-0000-0000-000041010000}"/>
    <cellStyle name="Uwaga" xfId="321" xr:uid="{00000000-0005-0000-0000-000042010000}"/>
    <cellStyle name="Uwaga 2" xfId="322" xr:uid="{00000000-0005-0000-0000-000043010000}"/>
    <cellStyle name="Uwaga 3" xfId="323" xr:uid="{00000000-0005-0000-0000-000044010000}"/>
    <cellStyle name="Uwaga 4" xfId="324" xr:uid="{00000000-0005-0000-0000-000045010000}"/>
    <cellStyle name="Uwaga 5" xfId="325" xr:uid="{00000000-0005-0000-0000-000046010000}"/>
    <cellStyle name="Uwaga 6" xfId="326" xr:uid="{00000000-0005-0000-0000-000047010000}"/>
    <cellStyle name="Uwaga 7" xfId="327" xr:uid="{00000000-0005-0000-0000-000048010000}"/>
    <cellStyle name="Uwaga 8" xfId="328" xr:uid="{00000000-0005-0000-0000-000049010000}"/>
    <cellStyle name="Złe" xfId="329" xr:uid="{00000000-0005-0000-0000-00004A010000}"/>
    <cellStyle name="Złe 2" xfId="330" xr:uid="{00000000-0005-0000-0000-00004B010000}"/>
    <cellStyle name="Złe 3" xfId="331" xr:uid="{00000000-0005-0000-0000-00004C010000}"/>
    <cellStyle name="Złe 4" xfId="332" xr:uid="{00000000-0005-0000-0000-00004D010000}"/>
    <cellStyle name="Złe 5" xfId="333" xr:uid="{00000000-0005-0000-0000-00004E010000}"/>
    <cellStyle name="Złe 6" xfId="334" xr:uid="{00000000-0005-0000-0000-00004F010000}"/>
    <cellStyle name="Złe 7" xfId="335" xr:uid="{00000000-0005-0000-0000-000050010000}"/>
    <cellStyle name="Złe 8" xfId="336" xr:uid="{00000000-0005-0000-0000-000051010000}"/>
    <cellStyle name="已访问的超链接" xfId="337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J29"/>
  <sheetViews>
    <sheetView zoomScale="145" zoomScaleNormal="145" workbookViewId="0">
      <selection activeCell="G8" sqref="G8"/>
    </sheetView>
  </sheetViews>
  <sheetFormatPr defaultRowHeight="12.75"/>
  <cols>
    <col min="1" max="1" width="2.85546875" customWidth="1"/>
    <col min="2" max="2" width="14.28515625" customWidth="1"/>
    <col min="3" max="3" width="20.85546875" customWidth="1"/>
    <col min="4" max="4" width="32.85546875" customWidth="1"/>
    <col min="5" max="5" width="10.7109375" customWidth="1"/>
    <col min="6" max="6" width="15.7109375" customWidth="1"/>
    <col min="7" max="8" width="12.85546875" customWidth="1"/>
    <col min="9" max="9" width="15.7109375" customWidth="1"/>
    <col min="10" max="10" width="3" customWidth="1"/>
    <col min="11" max="11" width="12.5703125" customWidth="1"/>
  </cols>
  <sheetData>
    <row r="2" spans="1:10" ht="18.75" thickBot="1">
      <c r="B2" s="14" t="s">
        <v>44</v>
      </c>
      <c r="C2" s="4"/>
      <c r="D2" s="4"/>
      <c r="E2" s="2"/>
      <c r="F2" s="2"/>
      <c r="G2" s="2"/>
      <c r="H2" s="2"/>
      <c r="I2" s="2"/>
    </row>
    <row r="3" spans="1:10">
      <c r="A3" s="29"/>
      <c r="B3" s="30"/>
      <c r="C3" s="30"/>
      <c r="D3" s="31"/>
      <c r="E3" s="31"/>
      <c r="F3" s="31"/>
      <c r="G3" s="31"/>
      <c r="H3" s="31"/>
      <c r="I3" s="31"/>
      <c r="J3" s="32"/>
    </row>
    <row r="4" spans="1:10" ht="18.75" customHeight="1" thickBot="1">
      <c r="A4" s="33"/>
      <c r="B4" s="40" t="s">
        <v>0</v>
      </c>
      <c r="C4" s="40"/>
      <c r="D4" s="40"/>
      <c r="E4" s="40"/>
      <c r="F4" s="40"/>
      <c r="G4" s="40"/>
      <c r="H4" s="40"/>
      <c r="I4" s="40"/>
      <c r="J4" s="34"/>
    </row>
    <row r="5" spans="1:10" ht="18.75" customHeight="1" thickBot="1">
      <c r="A5" s="33"/>
      <c r="B5" s="41" t="s">
        <v>1</v>
      </c>
      <c r="C5" s="41" t="s">
        <v>2</v>
      </c>
      <c r="D5" s="41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41" t="s">
        <v>8</v>
      </c>
      <c r="J5" s="34"/>
    </row>
    <row r="6" spans="1:10" ht="38.25" customHeight="1" thickBot="1">
      <c r="A6" s="33"/>
      <c r="B6" s="42" t="s">
        <v>36</v>
      </c>
      <c r="C6" s="42" t="s">
        <v>37</v>
      </c>
      <c r="D6" s="42" t="s">
        <v>38</v>
      </c>
      <c r="E6" s="42" t="s">
        <v>4</v>
      </c>
      <c r="F6" s="42" t="s">
        <v>39</v>
      </c>
      <c r="G6" s="42" t="s">
        <v>40</v>
      </c>
      <c r="H6" s="42" t="s">
        <v>41</v>
      </c>
      <c r="I6" s="42" t="s">
        <v>42</v>
      </c>
      <c r="J6" s="34"/>
    </row>
    <row r="7" spans="1:10" ht="18.75" customHeight="1">
      <c r="A7" s="33"/>
      <c r="B7" s="43" t="s">
        <v>9</v>
      </c>
      <c r="C7" s="43" t="s">
        <v>111</v>
      </c>
      <c r="D7" s="43" t="s">
        <v>112</v>
      </c>
      <c r="E7" s="44" t="s">
        <v>89</v>
      </c>
      <c r="F7" s="43"/>
      <c r="G7" s="43" t="s">
        <v>90</v>
      </c>
      <c r="H7" s="43"/>
      <c r="I7" s="43"/>
      <c r="J7" s="34"/>
    </row>
    <row r="8" spans="1:10" ht="18.75" customHeight="1">
      <c r="A8" s="33"/>
      <c r="B8" s="45" t="s">
        <v>9</v>
      </c>
      <c r="C8" s="45" t="s">
        <v>132</v>
      </c>
      <c r="D8" s="45" t="s">
        <v>133</v>
      </c>
      <c r="E8" s="46" t="s">
        <v>89</v>
      </c>
      <c r="F8" s="45"/>
      <c r="G8" s="45" t="s">
        <v>90</v>
      </c>
      <c r="H8" s="45"/>
      <c r="I8" s="45"/>
      <c r="J8" s="34"/>
    </row>
    <row r="9" spans="1:10" ht="18.75" customHeight="1">
      <c r="A9" s="33"/>
      <c r="B9" s="43"/>
      <c r="C9" s="43"/>
      <c r="D9" s="43"/>
      <c r="E9" s="44"/>
      <c r="F9" s="43"/>
      <c r="G9" s="43"/>
      <c r="H9" s="43"/>
      <c r="I9" s="43"/>
      <c r="J9" s="34"/>
    </row>
    <row r="10" spans="1:10" ht="18.75" customHeight="1">
      <c r="A10" s="33"/>
      <c r="B10" s="47"/>
      <c r="C10" s="47"/>
      <c r="D10" s="47"/>
      <c r="E10" s="47"/>
      <c r="F10" s="47"/>
      <c r="G10" s="47"/>
      <c r="H10" s="47"/>
      <c r="I10" s="47"/>
      <c r="J10" s="34"/>
    </row>
    <row r="11" spans="1:10" ht="18.75" customHeight="1">
      <c r="A11" s="33"/>
      <c r="B11" s="43"/>
      <c r="C11" s="43"/>
      <c r="D11" s="43"/>
      <c r="E11" s="48"/>
      <c r="F11" s="43"/>
      <c r="G11" s="43"/>
      <c r="H11" s="43"/>
      <c r="I11" s="43"/>
      <c r="J11" s="34"/>
    </row>
    <row r="12" spans="1:10" ht="18.75" customHeight="1" thickBot="1">
      <c r="A12" s="33"/>
      <c r="B12" s="49"/>
      <c r="C12" s="49"/>
      <c r="D12" s="49"/>
      <c r="E12" s="50"/>
      <c r="F12" s="49"/>
      <c r="G12" s="49"/>
      <c r="H12" s="49"/>
      <c r="I12" s="49"/>
      <c r="J12" s="34"/>
    </row>
    <row r="13" spans="1:10" ht="14.25" thickTop="1" thickBot="1">
      <c r="A13" s="35"/>
      <c r="B13" s="36"/>
      <c r="C13" s="36"/>
      <c r="D13" s="36"/>
      <c r="E13" s="36"/>
      <c r="F13" s="36"/>
      <c r="G13" s="36"/>
      <c r="H13" s="36"/>
      <c r="I13" s="36"/>
      <c r="J13" s="37"/>
    </row>
    <row r="15" spans="1:10" ht="15.75" customHeight="1"/>
    <row r="16" spans="1:10" ht="15.75" customHeight="1" thickBot="1">
      <c r="B16" s="79" t="s">
        <v>88</v>
      </c>
      <c r="C16" s="79"/>
    </row>
    <row r="17" spans="2:9" ht="15.75" customHeight="1">
      <c r="B17" s="25" t="s">
        <v>9</v>
      </c>
      <c r="C17" s="25" t="s">
        <v>31</v>
      </c>
    </row>
    <row r="18" spans="2:9" ht="15.75" customHeight="1">
      <c r="B18" s="26" t="s">
        <v>27</v>
      </c>
      <c r="C18" s="26" t="s">
        <v>32</v>
      </c>
    </row>
    <row r="19" spans="2:9" ht="15.75" customHeight="1">
      <c r="B19" s="27" t="s">
        <v>28</v>
      </c>
      <c r="C19" s="27" t="s">
        <v>33</v>
      </c>
    </row>
    <row r="20" spans="2:9">
      <c r="B20" s="26" t="s">
        <v>29</v>
      </c>
      <c r="C20" s="26" t="s">
        <v>34</v>
      </c>
    </row>
    <row r="21" spans="2:9" ht="13.5" thickBot="1">
      <c r="B21" s="28" t="s">
        <v>30</v>
      </c>
      <c r="C21" s="28" t="s">
        <v>35</v>
      </c>
    </row>
    <row r="24" spans="2:9">
      <c r="B24" t="s">
        <v>9</v>
      </c>
      <c r="C24" t="s">
        <v>118</v>
      </c>
      <c r="D24" t="s">
        <v>119</v>
      </c>
      <c r="E24" t="s">
        <v>89</v>
      </c>
      <c r="G24" t="s">
        <v>90</v>
      </c>
    </row>
    <row r="25" spans="2:9">
      <c r="B25" t="s">
        <v>9</v>
      </c>
      <c r="C25" t="s">
        <v>120</v>
      </c>
      <c r="D25" t="s">
        <v>121</v>
      </c>
      <c r="E25" t="s">
        <v>89</v>
      </c>
      <c r="G25" t="s">
        <v>90</v>
      </c>
    </row>
    <row r="26" spans="2:9">
      <c r="B26" t="s">
        <v>9</v>
      </c>
      <c r="C26" t="s">
        <v>101</v>
      </c>
      <c r="D26" t="s">
        <v>102</v>
      </c>
      <c r="E26" t="s">
        <v>89</v>
      </c>
      <c r="G26" t="s">
        <v>90</v>
      </c>
    </row>
    <row r="27" spans="2:9">
      <c r="B27" t="s">
        <v>9</v>
      </c>
      <c r="C27" t="s">
        <v>122</v>
      </c>
      <c r="D27" t="s">
        <v>97</v>
      </c>
      <c r="E27" t="s">
        <v>89</v>
      </c>
      <c r="G27" t="s">
        <v>91</v>
      </c>
      <c r="I27" t="s">
        <v>123</v>
      </c>
    </row>
    <row r="28" spans="2:9">
      <c r="B28" t="s">
        <v>9</v>
      </c>
      <c r="C28" t="s">
        <v>124</v>
      </c>
      <c r="D28" t="s">
        <v>125</v>
      </c>
      <c r="E28" t="s">
        <v>89</v>
      </c>
      <c r="G28" t="s">
        <v>91</v>
      </c>
    </row>
    <row r="29" spans="2:9">
      <c r="B29" t="s">
        <v>28</v>
      </c>
      <c r="C29" t="s">
        <v>126</v>
      </c>
      <c r="D29" t="s">
        <v>127</v>
      </c>
      <c r="E29" t="s">
        <v>89</v>
      </c>
      <c r="G29" t="s">
        <v>91</v>
      </c>
    </row>
  </sheetData>
  <mergeCells count="1">
    <mergeCell ref="B16:C16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5"/>
  <sheetViews>
    <sheetView tabSelected="1" zoomScale="145" zoomScaleNormal="145" workbookViewId="0">
      <selection activeCell="H15" sqref="H15"/>
    </sheetView>
  </sheetViews>
  <sheetFormatPr defaultRowHeight="12.75"/>
  <cols>
    <col min="1" max="1" width="2.85546875" customWidth="1"/>
    <col min="2" max="2" width="15.7109375" customWidth="1"/>
    <col min="3" max="3" width="17" customWidth="1"/>
    <col min="4" max="4" width="28.7109375" customWidth="1"/>
    <col min="5" max="5" width="28.5703125" customWidth="1"/>
    <col min="6" max="7" width="10" customWidth="1"/>
    <col min="8" max="8" width="11.42578125" customWidth="1"/>
    <col min="9" max="9" width="14.140625" customWidth="1"/>
    <col min="10" max="10" width="10" customWidth="1"/>
  </cols>
  <sheetData>
    <row r="2" spans="1:10" ht="18" customHeight="1">
      <c r="A2" s="3"/>
      <c r="B2" s="14" t="s">
        <v>43</v>
      </c>
      <c r="C2" s="1"/>
      <c r="D2" s="1"/>
    </row>
    <row r="3" spans="1:10" ht="12.75" customHeight="1"/>
    <row r="4" spans="1:10" ht="18.75" customHeight="1" thickBot="1">
      <c r="B4" s="52" t="s">
        <v>10</v>
      </c>
      <c r="C4" s="52"/>
      <c r="D4" s="52"/>
      <c r="E4" s="52"/>
      <c r="F4" s="52"/>
      <c r="G4" s="52"/>
      <c r="H4" s="52"/>
      <c r="I4" s="52"/>
      <c r="J4" s="52"/>
    </row>
    <row r="5" spans="1:10" ht="18.75" customHeight="1" thickBot="1">
      <c r="B5" s="53" t="s">
        <v>11</v>
      </c>
      <c r="C5" s="53" t="s">
        <v>12</v>
      </c>
      <c r="D5" s="53" t="s">
        <v>13</v>
      </c>
      <c r="E5" s="53" t="s">
        <v>14</v>
      </c>
      <c r="F5" s="53" t="s">
        <v>15</v>
      </c>
      <c r="G5" s="53" t="s">
        <v>16</v>
      </c>
      <c r="H5" s="53" t="s">
        <v>17</v>
      </c>
      <c r="I5" s="53" t="s">
        <v>18</v>
      </c>
      <c r="J5" s="53" t="s">
        <v>19</v>
      </c>
    </row>
    <row r="6" spans="1:10" ht="33.75" customHeight="1" thickBot="1">
      <c r="B6" s="54" t="s">
        <v>52</v>
      </c>
      <c r="C6" s="54" t="s">
        <v>53</v>
      </c>
      <c r="D6" s="54" t="s">
        <v>54</v>
      </c>
      <c r="E6" s="54" t="s">
        <v>55</v>
      </c>
      <c r="F6" s="54" t="s">
        <v>56</v>
      </c>
      <c r="G6" s="54" t="s">
        <v>57</v>
      </c>
      <c r="H6" s="54" t="s">
        <v>40</v>
      </c>
      <c r="I6" s="54" t="s">
        <v>58</v>
      </c>
      <c r="J6" s="54" t="s">
        <v>59</v>
      </c>
    </row>
    <row r="7" spans="1:10" ht="18.75" customHeight="1">
      <c r="B7" s="51" t="s">
        <v>20</v>
      </c>
      <c r="C7" s="51" t="s">
        <v>113</v>
      </c>
      <c r="D7" s="51" t="s">
        <v>114</v>
      </c>
      <c r="E7" s="51" t="s">
        <v>115</v>
      </c>
      <c r="F7" s="51" t="s">
        <v>89</v>
      </c>
      <c r="G7" s="51" t="s">
        <v>95</v>
      </c>
      <c r="H7" s="51" t="s">
        <v>90</v>
      </c>
      <c r="I7" s="51"/>
      <c r="J7" s="51"/>
    </row>
    <row r="8" spans="1:10" ht="18.75" customHeight="1">
      <c r="B8" s="47" t="s">
        <v>45</v>
      </c>
      <c r="C8" s="47" t="s">
        <v>113</v>
      </c>
      <c r="D8" s="47" t="s">
        <v>116</v>
      </c>
      <c r="E8" s="47" t="s">
        <v>117</v>
      </c>
      <c r="F8" s="47" t="s">
        <v>89</v>
      </c>
      <c r="G8" s="47" t="s">
        <v>103</v>
      </c>
      <c r="H8" s="47" t="s">
        <v>91</v>
      </c>
      <c r="I8" s="47"/>
      <c r="J8" s="47"/>
    </row>
    <row r="9" spans="1:10" ht="18.75" customHeight="1">
      <c r="B9" s="51" t="s">
        <v>45</v>
      </c>
      <c r="C9" s="51" t="s">
        <v>113</v>
      </c>
      <c r="D9" s="51" t="s">
        <v>135</v>
      </c>
      <c r="E9" s="51" t="s">
        <v>131</v>
      </c>
      <c r="F9" s="51" t="s">
        <v>89</v>
      </c>
      <c r="G9" s="51" t="s">
        <v>103</v>
      </c>
      <c r="H9" s="51" t="s">
        <v>91</v>
      </c>
      <c r="I9" s="51"/>
      <c r="J9" s="51"/>
    </row>
    <row r="10" spans="1:10" ht="18.75" customHeight="1">
      <c r="B10" s="47" t="s">
        <v>20</v>
      </c>
      <c r="C10" s="47" t="s">
        <v>113</v>
      </c>
      <c r="D10" s="47" t="s">
        <v>134</v>
      </c>
      <c r="E10" s="47" t="s">
        <v>136</v>
      </c>
      <c r="F10" s="47" t="s">
        <v>89</v>
      </c>
      <c r="G10" s="47" t="s">
        <v>95</v>
      </c>
      <c r="H10" s="47" t="s">
        <v>90</v>
      </c>
      <c r="I10" s="47"/>
      <c r="J10" s="47"/>
    </row>
    <row r="11" spans="1:10" ht="18.75" customHeight="1">
      <c r="B11" s="51"/>
      <c r="C11" s="51"/>
      <c r="D11" s="51"/>
      <c r="E11" s="51"/>
      <c r="F11" s="51"/>
      <c r="G11" s="51"/>
      <c r="H11" s="51"/>
      <c r="I11" s="51"/>
      <c r="J11" s="51"/>
    </row>
    <row r="12" spans="1:10" ht="18.75" customHeight="1">
      <c r="B12" s="47"/>
      <c r="C12" s="47"/>
      <c r="D12" s="47"/>
      <c r="E12" s="47"/>
      <c r="F12" s="47"/>
      <c r="G12" s="47"/>
      <c r="H12" s="47"/>
      <c r="I12" s="47"/>
      <c r="J12" s="47"/>
    </row>
    <row r="13" spans="1:10" ht="18.75" customHeight="1" thickBot="1">
      <c r="B13" s="55"/>
      <c r="C13" s="55"/>
      <c r="D13" s="55"/>
      <c r="E13" s="55"/>
      <c r="F13" s="55"/>
      <c r="G13" s="55"/>
      <c r="H13" s="55"/>
      <c r="I13" s="55"/>
      <c r="J13" s="55"/>
    </row>
    <row r="14" spans="1:10" ht="13.5" thickTop="1"/>
    <row r="15" spans="1:10">
      <c r="E15" s="15"/>
    </row>
    <row r="17" spans="2:5">
      <c r="B17" s="15" t="s">
        <v>45</v>
      </c>
      <c r="C17" s="15" t="s">
        <v>60</v>
      </c>
    </row>
    <row r="18" spans="2:5">
      <c r="B18" s="15" t="s">
        <v>46</v>
      </c>
      <c r="C18" s="15" t="s">
        <v>61</v>
      </c>
    </row>
    <row r="19" spans="2:5">
      <c r="B19" s="15" t="s">
        <v>47</v>
      </c>
      <c r="C19" s="15" t="s">
        <v>62</v>
      </c>
    </row>
    <row r="20" spans="2:5">
      <c r="B20" s="15" t="s">
        <v>48</v>
      </c>
      <c r="C20" s="15" t="s">
        <v>63</v>
      </c>
    </row>
    <row r="21" spans="2:5">
      <c r="B21" s="15" t="s">
        <v>49</v>
      </c>
      <c r="C21" s="15" t="s">
        <v>64</v>
      </c>
      <c r="E21" s="15" t="s">
        <v>92</v>
      </c>
    </row>
    <row r="22" spans="2:5">
      <c r="B22" s="15" t="s">
        <v>21</v>
      </c>
      <c r="C22" s="15" t="s">
        <v>65</v>
      </c>
      <c r="E22" s="15" t="s">
        <v>69</v>
      </c>
    </row>
    <row r="23" spans="2:5">
      <c r="B23" s="15" t="s">
        <v>50</v>
      </c>
      <c r="C23" s="15" t="s">
        <v>66</v>
      </c>
      <c r="E23" s="15" t="s">
        <v>70</v>
      </c>
    </row>
    <row r="24" spans="2:5">
      <c r="B24" s="15" t="s">
        <v>20</v>
      </c>
      <c r="C24" s="15" t="s">
        <v>67</v>
      </c>
      <c r="E24" s="15" t="s">
        <v>69</v>
      </c>
    </row>
    <row r="25" spans="2:5">
      <c r="B25" s="15" t="s">
        <v>51</v>
      </c>
      <c r="C25" s="15" t="s">
        <v>68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4"/>
  <sheetViews>
    <sheetView zoomScale="160" zoomScaleNormal="160" workbookViewId="0">
      <selection activeCell="D11" sqref="D11"/>
    </sheetView>
  </sheetViews>
  <sheetFormatPr defaultRowHeight="12.75"/>
  <cols>
    <col min="1" max="1" width="2.85546875" customWidth="1"/>
    <col min="2" max="2" width="27.7109375" customWidth="1"/>
    <col min="3" max="3" width="27.140625" customWidth="1"/>
    <col min="4" max="4" width="16.85546875" customWidth="1"/>
    <col min="5" max="8" width="12.85546875" customWidth="1"/>
    <col min="9" max="9" width="14.28515625" customWidth="1"/>
    <col min="11" max="13" width="15.85546875" customWidth="1"/>
  </cols>
  <sheetData>
    <row r="1" spans="1:23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18">
      <c r="A2" s="5"/>
      <c r="B2" s="10" t="s">
        <v>26</v>
      </c>
      <c r="C2" s="10"/>
      <c r="D2" s="10"/>
      <c r="E2" s="7"/>
      <c r="F2" s="7"/>
      <c r="G2" s="7"/>
      <c r="H2" s="7"/>
      <c r="I2" s="5"/>
      <c r="J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>
      <c r="A3" s="8"/>
      <c r="B3" s="9"/>
      <c r="C3" s="5"/>
      <c r="D3" s="6"/>
      <c r="E3" s="7"/>
      <c r="F3" s="7"/>
      <c r="G3" s="7"/>
      <c r="H3" s="7"/>
      <c r="I3" s="7"/>
      <c r="J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5.75" customHeight="1" thickBot="1">
      <c r="A4" s="5"/>
      <c r="B4" s="56" t="s">
        <v>22</v>
      </c>
      <c r="E4" s="5"/>
      <c r="F4" s="5"/>
      <c r="G4" s="5"/>
      <c r="H4" s="5"/>
      <c r="I4" s="7"/>
      <c r="J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ht="18.75" customHeight="1" thickBot="1">
      <c r="A5" s="5"/>
      <c r="B5" s="57" t="s">
        <v>13</v>
      </c>
      <c r="C5" s="57" t="s">
        <v>74</v>
      </c>
      <c r="D5" s="57" t="s">
        <v>23</v>
      </c>
      <c r="E5" s="57" t="s">
        <v>24</v>
      </c>
      <c r="F5" s="57" t="s">
        <v>104</v>
      </c>
      <c r="G5" s="57" t="s">
        <v>106</v>
      </c>
      <c r="H5" s="57" t="s">
        <v>108</v>
      </c>
      <c r="I5" s="57" t="s">
        <v>25</v>
      </c>
      <c r="J5" s="12"/>
      <c r="N5" s="12"/>
      <c r="O5" s="12"/>
      <c r="P5" s="12"/>
      <c r="Q5" s="12"/>
      <c r="R5" s="12"/>
      <c r="S5" s="12"/>
      <c r="T5" s="12"/>
      <c r="U5" s="5"/>
      <c r="V5" s="5"/>
      <c r="W5" s="5"/>
    </row>
    <row r="6" spans="1:23" ht="18.75" customHeight="1">
      <c r="A6" s="5"/>
      <c r="B6" s="58" t="s">
        <v>71</v>
      </c>
      <c r="C6" s="58" t="s">
        <v>55</v>
      </c>
      <c r="D6" s="58" t="s">
        <v>72</v>
      </c>
      <c r="E6" s="58" t="s">
        <v>96</v>
      </c>
      <c r="F6" s="58" t="s">
        <v>105</v>
      </c>
      <c r="G6" s="58" t="s">
        <v>107</v>
      </c>
      <c r="H6" s="58" t="s">
        <v>109</v>
      </c>
      <c r="I6" s="58" t="s">
        <v>73</v>
      </c>
      <c r="J6" s="13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8.75" customHeight="1">
      <c r="A7" s="5"/>
      <c r="B7" s="59" t="s">
        <v>93</v>
      </c>
      <c r="C7" s="59"/>
      <c r="D7" s="59"/>
      <c r="E7" s="59" t="s">
        <v>94</v>
      </c>
      <c r="F7" s="59" t="s">
        <v>110</v>
      </c>
      <c r="G7" s="59"/>
      <c r="H7" s="59"/>
      <c r="I7" s="59" t="s">
        <v>95</v>
      </c>
      <c r="J7" s="13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8.75" customHeight="1">
      <c r="B8" s="60" t="str">
        <f>SEC_Processes!D7</f>
        <v>MIN_SOLAR</v>
      </c>
      <c r="C8" s="60"/>
      <c r="D8" s="61" t="str">
        <f>SEC_Comm!C7</f>
        <v>SOLAR</v>
      </c>
      <c r="E8" s="76">
        <v>1E-3</v>
      </c>
      <c r="F8" s="76">
        <v>1E-3</v>
      </c>
      <c r="G8" s="63">
        <v>2025</v>
      </c>
      <c r="H8" s="63">
        <v>100</v>
      </c>
      <c r="I8" s="63"/>
    </row>
    <row r="9" spans="1:23" ht="18.75" customHeight="1">
      <c r="B9" s="64" t="str">
        <f>SEC_Processes!D10</f>
        <v>MIN_WINDOFF</v>
      </c>
      <c r="C9" s="64" t="s">
        <v>134</v>
      </c>
      <c r="D9" s="65" t="str">
        <f>SEC_Comm!C8</f>
        <v>WIND_OFF</v>
      </c>
      <c r="E9" s="66">
        <v>1E-3</v>
      </c>
      <c r="F9" s="66">
        <v>1E-3</v>
      </c>
      <c r="G9" s="67">
        <v>2025</v>
      </c>
      <c r="H9" s="67">
        <v>100</v>
      </c>
      <c r="I9" s="67"/>
    </row>
    <row r="10" spans="1:23" ht="18.75" customHeight="1">
      <c r="B10" s="60"/>
      <c r="C10" s="60"/>
      <c r="D10" s="68"/>
      <c r="E10" s="62"/>
      <c r="F10" s="62"/>
      <c r="G10" s="62"/>
      <c r="H10" s="62"/>
      <c r="I10" s="63"/>
    </row>
    <row r="11" spans="1:23" ht="18.75" customHeight="1">
      <c r="B11" s="64"/>
      <c r="C11" s="64"/>
      <c r="D11" s="65"/>
      <c r="E11" s="69"/>
      <c r="F11" s="69"/>
      <c r="G11" s="69"/>
      <c r="H11" s="69"/>
      <c r="I11" s="67"/>
    </row>
    <row r="12" spans="1:23" ht="18.75" customHeight="1">
      <c r="B12" s="60"/>
      <c r="C12" s="60"/>
      <c r="D12" s="61"/>
      <c r="E12" s="62"/>
      <c r="F12" s="62"/>
      <c r="G12" s="62"/>
      <c r="H12" s="62"/>
      <c r="I12" s="63"/>
    </row>
    <row r="13" spans="1:23" ht="18.75" customHeight="1" thickBot="1">
      <c r="B13" s="70"/>
      <c r="C13" s="70"/>
      <c r="D13" s="71"/>
      <c r="E13" s="72"/>
      <c r="F13" s="72"/>
      <c r="G13" s="72"/>
      <c r="H13" s="72"/>
      <c r="I13" s="73"/>
    </row>
    <row r="14" spans="1:23" ht="13.5" thickTop="1"/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B33B-6004-4066-985A-D9E4166DC0DF}">
  <dimension ref="B2:M15"/>
  <sheetViews>
    <sheetView topLeftCell="C1" zoomScale="175" zoomScaleNormal="175" workbookViewId="0">
      <selection activeCell="K12" sqref="K12"/>
    </sheetView>
  </sheetViews>
  <sheetFormatPr defaultRowHeight="12.75"/>
  <cols>
    <col min="1" max="1" width="4.7109375" customWidth="1"/>
    <col min="2" max="2" width="24.7109375" customWidth="1"/>
    <col min="3" max="3" width="22.42578125" customWidth="1"/>
    <col min="4" max="4" width="15.85546875" customWidth="1"/>
    <col min="5" max="9" width="11.42578125" customWidth="1"/>
    <col min="10" max="10" width="16.85546875" customWidth="1"/>
    <col min="11" max="11" width="11.28515625" customWidth="1"/>
  </cols>
  <sheetData>
    <row r="2" spans="2:13" ht="18">
      <c r="B2" s="24" t="s">
        <v>87</v>
      </c>
      <c r="C2" s="16"/>
      <c r="D2" s="16"/>
      <c r="E2" s="16"/>
      <c r="H2" s="18"/>
      <c r="I2" s="19"/>
      <c r="J2" s="20"/>
      <c r="K2" s="21"/>
    </row>
    <row r="3" spans="2:13">
      <c r="B3" s="22"/>
      <c r="C3" s="23"/>
      <c r="E3" s="17"/>
      <c r="H3" s="18"/>
      <c r="I3" s="19"/>
      <c r="J3" s="20"/>
      <c r="K3" s="21"/>
    </row>
    <row r="4" spans="2:13" ht="18.75" customHeight="1" thickBot="1">
      <c r="B4" s="52" t="s">
        <v>22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2:13" ht="27" customHeight="1" thickBot="1">
      <c r="B5" s="53" t="s">
        <v>13</v>
      </c>
      <c r="C5" s="53" t="s">
        <v>74</v>
      </c>
      <c r="D5" s="53" t="s">
        <v>75</v>
      </c>
      <c r="E5" s="53" t="s">
        <v>23</v>
      </c>
      <c r="F5" s="53" t="s">
        <v>76</v>
      </c>
      <c r="G5" s="53" t="s">
        <v>77</v>
      </c>
      <c r="H5" s="53" t="s">
        <v>78</v>
      </c>
      <c r="I5" s="53" t="s">
        <v>79</v>
      </c>
      <c r="J5" s="53" t="s">
        <v>80</v>
      </c>
      <c r="K5" s="53" t="s">
        <v>104</v>
      </c>
      <c r="L5" s="53" t="s">
        <v>106</v>
      </c>
      <c r="M5" s="53" t="s">
        <v>108</v>
      </c>
    </row>
    <row r="6" spans="2:13" ht="26.25" customHeight="1">
      <c r="B6" s="78" t="s">
        <v>71</v>
      </c>
      <c r="C6" s="78" t="s">
        <v>55</v>
      </c>
      <c r="D6" s="78" t="s">
        <v>81</v>
      </c>
      <c r="E6" s="78" t="s">
        <v>72</v>
      </c>
      <c r="F6" s="78" t="s">
        <v>82</v>
      </c>
      <c r="G6" s="78" t="s">
        <v>83</v>
      </c>
      <c r="H6" s="78" t="s">
        <v>84</v>
      </c>
      <c r="I6" s="78" t="s">
        <v>85</v>
      </c>
      <c r="J6" s="78" t="s">
        <v>86</v>
      </c>
      <c r="K6" s="78" t="s">
        <v>105</v>
      </c>
      <c r="L6" s="78" t="s">
        <v>107</v>
      </c>
      <c r="M6" s="78" t="s">
        <v>109</v>
      </c>
    </row>
    <row r="7" spans="2:13" ht="18.75" customHeight="1">
      <c r="B7" s="74" t="s">
        <v>93</v>
      </c>
      <c r="C7" s="74"/>
      <c r="D7" s="74"/>
      <c r="E7" s="74"/>
      <c r="F7" s="74" t="s">
        <v>98</v>
      </c>
      <c r="G7" s="74" t="s">
        <v>99</v>
      </c>
      <c r="H7" s="74" t="s">
        <v>100</v>
      </c>
      <c r="I7" s="74" t="s">
        <v>129</v>
      </c>
      <c r="J7" s="74" t="s">
        <v>128</v>
      </c>
      <c r="K7" s="74" t="s">
        <v>130</v>
      </c>
      <c r="L7" s="74"/>
      <c r="M7" s="74"/>
    </row>
    <row r="8" spans="2:13" ht="18.75" customHeight="1">
      <c r="B8" s="51" t="str">
        <f>SEC_Processes!D8</f>
        <v>NEW_PV_PP</v>
      </c>
      <c r="C8" s="51" t="str">
        <f>SEC_Processes!E8</f>
        <v>New PV Power Plant</v>
      </c>
      <c r="D8" s="51" t="str">
        <f>MIN_IMP!D8</f>
        <v>SOLAR</v>
      </c>
      <c r="E8" s="51" t="str">
        <f>SEC_Comm!C27</f>
        <v>ELC_HV</v>
      </c>
      <c r="F8" s="77">
        <v>1</v>
      </c>
      <c r="G8" s="51">
        <v>31.536000000000001</v>
      </c>
      <c r="H8" s="51">
        <v>0.12</v>
      </c>
      <c r="I8" s="51">
        <v>1</v>
      </c>
      <c r="J8" s="51"/>
      <c r="K8" s="51">
        <v>1000</v>
      </c>
      <c r="L8" s="51">
        <v>2025</v>
      </c>
      <c r="M8" s="51">
        <v>25</v>
      </c>
    </row>
    <row r="9" spans="2:13" ht="18.75" customHeight="1" thickBot="1">
      <c r="B9" s="75"/>
      <c r="C9" s="75" t="s">
        <v>137</v>
      </c>
      <c r="D9" s="80" t="str">
        <f>MIN_IMP!D9</f>
        <v>WIND_OFF</v>
      </c>
      <c r="E9" s="75" t="str">
        <f>SEC_Comm!C27</f>
        <v>ELC_HV</v>
      </c>
      <c r="F9" s="81">
        <v>1</v>
      </c>
      <c r="G9" s="75">
        <v>31.536000000000001</v>
      </c>
      <c r="H9" s="75">
        <v>0.41</v>
      </c>
      <c r="I9" s="75">
        <v>1</v>
      </c>
      <c r="J9" s="75"/>
      <c r="K9" s="75">
        <v>4000</v>
      </c>
      <c r="L9" s="75">
        <v>2025</v>
      </c>
      <c r="M9" s="75">
        <v>25</v>
      </c>
    </row>
    <row r="10" spans="2:13" ht="13.5" thickTop="1"/>
    <row r="12" spans="2:13">
      <c r="E12" s="15"/>
      <c r="G12" s="15"/>
    </row>
    <row r="13" spans="2:13">
      <c r="E13" s="15"/>
      <c r="G13" s="15"/>
    </row>
    <row r="14" spans="2:13">
      <c r="E14" s="38"/>
    </row>
    <row r="15" spans="2:13">
      <c r="E15" s="38"/>
      <c r="F15" s="39"/>
    </row>
  </sheetData>
  <pageMargins left="0.7" right="0.7" top="0.75" bottom="0.75" header="0.3" footer="0.3"/>
  <pageSetup paperSize="9" orientation="portrait" horizontalDpi="4294967295" verticalDpi="4294967295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54E624-82C6-4C58-B5AA-5F4B4FEE1585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5645557-b925-4e14-b9c3-bb0dccab904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FCF40F-3BC7-4547-9987-907AA96C14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SEC_Comm</vt:lpstr>
      <vt:lpstr>SEC_Processes</vt:lpstr>
      <vt:lpstr>MIN_IMP</vt:lpstr>
      <vt:lpstr>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User</cp:lastModifiedBy>
  <cp:revision/>
  <dcterms:created xsi:type="dcterms:W3CDTF">2000-12-13T15:53:11Z</dcterms:created>
  <dcterms:modified xsi:type="dcterms:W3CDTF">2025-11-12T07:48:38Z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566276192665100</vt:r8>
  </property>
  <property fmtid="{D5CDD505-2E9C-101B-9397-08002B2CF9AE}" pid="5" name="Order">
    <vt:r8>60000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_SourceUrl">
    <vt:lpwstr/>
  </property>
  <property fmtid="{D5CDD505-2E9C-101B-9397-08002B2CF9AE}" pid="13" name="_SharedFileIndex">
    <vt:lpwstr/>
  </property>
</Properties>
</file>